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КИБЕР ПОРТАЛ\"/>
    </mc:Choice>
  </mc:AlternateContent>
  <xr:revisionPtr revIDLastSave="0" documentId="13_ncr:1_{528A9CAB-1BA1-41C9-A69D-2A8DA9BA68D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Тарифы аренды робото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19" i="1"/>
  <c r="H20" i="1"/>
  <c r="H22" i="1"/>
  <c r="G22" i="1"/>
  <c r="F22" i="1"/>
  <c r="E14" i="1"/>
  <c r="D14" i="1"/>
  <c r="C14" i="1"/>
  <c r="E13" i="1"/>
  <c r="G13" i="1" s="1"/>
  <c r="D13" i="1"/>
  <c r="C13" i="1"/>
  <c r="E10" i="1"/>
  <c r="G10" i="1" s="1"/>
  <c r="D10" i="1"/>
  <c r="C10" i="1"/>
  <c r="E9" i="1"/>
  <c r="G9" i="1" s="1"/>
  <c r="D9" i="1"/>
  <c r="C9" i="1"/>
  <c r="E8" i="1"/>
  <c r="F8" i="1" s="1"/>
  <c r="D8" i="1"/>
  <c r="C8" i="1"/>
  <c r="E6" i="1"/>
  <c r="F6" i="1" s="1"/>
  <c r="D6" i="1"/>
  <c r="C6" i="1"/>
  <c r="G5" i="1"/>
  <c r="F5" i="1"/>
  <c r="G8" i="1" l="1"/>
  <c r="F13" i="1"/>
  <c r="F9" i="1"/>
  <c r="G6" i="1"/>
</calcChain>
</file>

<file path=xl/sharedStrings.xml><?xml version="1.0" encoding="utf-8"?>
<sst xmlns="http://schemas.openxmlformats.org/spreadsheetml/2006/main" count="138" uniqueCount="66">
  <si>
    <t>КИБЕР ПОРТАЛ — тарифы аренды роботов из каталога сайта</t>
  </si>
  <si>
    <t>Модель робота</t>
  </si>
  <si>
    <t>1 час</t>
  </si>
  <si>
    <t>До 4 часов</t>
  </si>
  <si>
    <t>До 8 часов
(1 день)</t>
  </si>
  <si>
    <t>2 дня</t>
  </si>
  <si>
    <t>3 дня</t>
  </si>
  <si>
    <t>Роботы-гуманоиды и промо-роботы</t>
  </si>
  <si>
    <t>София (Sophia)</t>
  </si>
  <si>
    <t>по запросу</t>
  </si>
  <si>
    <t>Арди (Ardi)</t>
  </si>
  <si>
    <t>75 000 ₽</t>
  </si>
  <si>
    <t>150 000 ₽</t>
  </si>
  <si>
    <t>250 000 ₽</t>
  </si>
  <si>
    <t>450 000 ₽</t>
  </si>
  <si>
    <t>Unitree G1</t>
  </si>
  <si>
    <t>100 000 ₽</t>
  </si>
  <si>
    <t>Unitree H2</t>
  </si>
  <si>
    <t>Unitree R1</t>
  </si>
  <si>
    <t>130 000 ₽</t>
  </si>
  <si>
    <t>Noetix Bumi</t>
  </si>
  <si>
    <t>Agibot X2</t>
  </si>
  <si>
    <t>Promobot V4</t>
  </si>
  <si>
    <t>140 000 ₽</t>
  </si>
  <si>
    <t>195 000 ₽</t>
  </si>
  <si>
    <t>Роботы-собаки и роботизированные платформы</t>
  </si>
  <si>
    <t>Unitree Go2</t>
  </si>
  <si>
    <t>90 000 ₽</t>
  </si>
  <si>
    <t>Xiaomi Cyberdog 2</t>
  </si>
  <si>
    <t>70 000 ₽</t>
  </si>
  <si>
    <t>180 000 ₽</t>
  </si>
  <si>
    <t>Inchbot L1-W</t>
  </si>
  <si>
    <t>Сервисные роботы (кофе, бар, доставка)</t>
  </si>
  <si>
    <t>BellaBot</t>
  </si>
  <si>
    <t>KettyBot</t>
  </si>
  <si>
    <t>55 000 ₽</t>
  </si>
  <si>
    <t>135 000 ₽</t>
  </si>
  <si>
    <t>Робот-кофейня (Робобариста)</t>
  </si>
  <si>
    <t>200 000 ₽</t>
  </si>
  <si>
    <t>380 000 ₽</t>
  </si>
  <si>
    <t>490 000 ₽</t>
  </si>
  <si>
    <t>Мини-кофейня (робот-бариста)</t>
  </si>
  <si>
    <t>160 000 ₽</t>
  </si>
  <si>
    <t>300 000 ₽</t>
  </si>
  <si>
    <t>440 000 ₽</t>
  </si>
  <si>
    <t>Робобар</t>
  </si>
  <si>
    <t>170 000 ₽</t>
  </si>
  <si>
    <t>320 000 ₽</t>
  </si>
  <si>
    <t>UV-BOX</t>
  </si>
  <si>
    <t>Интерактивные и арт-роботы</t>
  </si>
  <si>
    <t>Робот-шашки (Робошашки)</t>
  </si>
  <si>
    <t>230 000 ₽</t>
  </si>
  <si>
    <t>Робот-шахматист (SenseRobot)</t>
  </si>
  <si>
    <t>80 000 ₽</t>
  </si>
  <si>
    <t>210 000 ₽</t>
  </si>
  <si>
    <t>Робот Tron</t>
  </si>
  <si>
    <t>240 000 ₽</t>
  </si>
  <si>
    <t>Робот-художник</t>
  </si>
  <si>
    <t>Sketchbot</t>
  </si>
  <si>
    <t>Клипмейкер</t>
  </si>
  <si>
    <t>280 000 ₽</t>
  </si>
  <si>
    <t>390 000 ₽</t>
  </si>
  <si>
    <t>GlamBot</t>
  </si>
  <si>
    <t>нет</t>
  </si>
  <si>
    <t>2 часа</t>
  </si>
  <si>
    <t>от {цена} ₽ / час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</si>
</sst>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1"/>
      <color rgb="FFFFFFFF"/>
      <name val="Arial"/>
    </font>
    <font>
      <b/>
      <sz val="11"/>
      <color rgb="FF1F3864"/>
      <name val="Arial"/>
    </font>
    <font>
      <b/>
      <sz val="1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theme="7" tint="0.79998168889431442"/>
        <bgColor rgb="FFE2EFDA"/>
      </patternFill>
    </fill>
    <fill>
      <patternFill patternType="solid">
        <fgColor theme="7" tint="0.79998168889431442"/>
        <bgColor rgb="FFFFF2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6" borderId="3" xfId="0" applyFont="1" applyFill="1" applyBorder="1" applyAlignment="1">
      <alignment horizontal="left" vertical="center"/>
    </xf>
    <xf numFmtId="0" fontId="0" fillId="6" borderId="4" xfId="0" applyFill="1" applyBorder="1"/>
    <xf numFmtId="0" fontId="0" fillId="0" borderId="4" xfId="0" applyBorder="1"/>
    <xf numFmtId="0" fontId="3" fillId="6" borderId="5" xfId="0" applyFont="1" applyFill="1" applyBorder="1" applyAlignment="1">
      <alignment horizontal="left" vertical="center"/>
    </xf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pane ySplit="2" topLeftCell="A3" activePane="bottomLeft" state="frozen"/>
      <selection pane="bottomLeft" activeCell="H17" sqref="H17"/>
    </sheetView>
  </sheetViews>
  <sheetFormatPr defaultRowHeight="14.5" x14ac:dyDescent="0.35"/>
  <cols>
    <col min="1" max="1" width="26" customWidth="1"/>
    <col min="2" max="7" width="14" customWidth="1"/>
    <col min="8" max="8" width="27.90625" customWidth="1"/>
  </cols>
  <sheetData>
    <row r="1" spans="1:8" ht="18" x14ac:dyDescent="0.35">
      <c r="A1" s="9" t="s">
        <v>0</v>
      </c>
      <c r="B1" s="10"/>
      <c r="C1" s="10"/>
      <c r="D1" s="10"/>
      <c r="E1" s="10"/>
      <c r="F1" s="10"/>
      <c r="G1" s="10"/>
      <c r="H1" s="10"/>
    </row>
    <row r="2" spans="1:8" ht="39" customHeight="1" x14ac:dyDescent="0.35">
      <c r="A2" s="1" t="s">
        <v>1</v>
      </c>
      <c r="B2" s="1" t="s">
        <v>2</v>
      </c>
      <c r="C2" s="1" t="s">
        <v>64</v>
      </c>
      <c r="D2" s="1" t="s">
        <v>3</v>
      </c>
      <c r="E2" s="1" t="s">
        <v>4</v>
      </c>
      <c r="F2" s="1" t="s">
        <v>5</v>
      </c>
      <c r="G2" s="1" t="s">
        <v>6</v>
      </c>
      <c r="H2" s="8" t="s">
        <v>65</v>
      </c>
    </row>
    <row r="3" spans="1:8" ht="20" customHeight="1" x14ac:dyDescent="0.35">
      <c r="A3" s="11" t="s">
        <v>7</v>
      </c>
      <c r="B3" s="12"/>
      <c r="C3" s="12"/>
      <c r="D3" s="12"/>
      <c r="E3" s="12"/>
      <c r="F3" s="12"/>
      <c r="G3" s="12"/>
      <c r="H3" s="13"/>
    </row>
    <row r="4" spans="1:8" ht="45" customHeight="1" x14ac:dyDescent="0.35">
      <c r="A4" s="2" t="s">
        <v>8</v>
      </c>
      <c r="B4" s="3" t="s">
        <v>9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</row>
    <row r="5" spans="1:8" ht="45" customHeight="1" x14ac:dyDescent="0.35">
      <c r="A5" s="2" t="s">
        <v>10</v>
      </c>
      <c r="B5" s="4" t="s">
        <v>63</v>
      </c>
      <c r="C5" s="4" t="s">
        <v>63</v>
      </c>
      <c r="D5" s="4" t="s">
        <v>63</v>
      </c>
      <c r="E5" s="5" t="s">
        <v>13</v>
      </c>
      <c r="F5" s="5">
        <f>E5*2*0.9</f>
        <v>450000</v>
      </c>
      <c r="G5" s="5">
        <f>E5*3*0.8</f>
        <v>600000</v>
      </c>
      <c r="H5">
        <v>30000</v>
      </c>
    </row>
    <row r="6" spans="1:8" ht="45" customHeight="1" x14ac:dyDescent="0.35">
      <c r="A6" s="2" t="s">
        <v>15</v>
      </c>
      <c r="B6" s="6">
        <v>25000</v>
      </c>
      <c r="C6" s="6">
        <f>B6*2</f>
        <v>50000</v>
      </c>
      <c r="D6" s="7">
        <f>B6*3</f>
        <v>75000</v>
      </c>
      <c r="E6" s="6">
        <f>B6*4</f>
        <v>100000</v>
      </c>
      <c r="F6" s="6">
        <f>E6*2*0.9</f>
        <v>180000</v>
      </c>
      <c r="G6" s="6">
        <f>E6*3*0.8</f>
        <v>240000</v>
      </c>
      <c r="H6">
        <v>15000</v>
      </c>
    </row>
    <row r="7" spans="1:8" ht="45" customHeight="1" x14ac:dyDescent="0.35">
      <c r="A7" s="2" t="s">
        <v>17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</row>
    <row r="8" spans="1:8" ht="45" customHeight="1" x14ac:dyDescent="0.35">
      <c r="A8" s="2" t="s">
        <v>18</v>
      </c>
      <c r="B8" s="6">
        <v>25000</v>
      </c>
      <c r="C8" s="6">
        <f>B8*2</f>
        <v>50000</v>
      </c>
      <c r="D8" s="7">
        <f>B8*3</f>
        <v>75000</v>
      </c>
      <c r="E8" s="6">
        <f>B8*4</f>
        <v>100000</v>
      </c>
      <c r="F8" s="6">
        <f>E8*2*0.9</f>
        <v>180000</v>
      </c>
      <c r="G8" s="6">
        <f>E8*3*0.8</f>
        <v>240000</v>
      </c>
      <c r="H8">
        <v>12500</v>
      </c>
    </row>
    <row r="9" spans="1:8" ht="45" customHeight="1" x14ac:dyDescent="0.35">
      <c r="A9" s="2" t="s">
        <v>20</v>
      </c>
      <c r="B9" s="6">
        <v>20000</v>
      </c>
      <c r="C9" s="6">
        <f>B9*2</f>
        <v>40000</v>
      </c>
      <c r="D9" s="7">
        <f>B9*3</f>
        <v>60000</v>
      </c>
      <c r="E9" s="6">
        <f>B9*4</f>
        <v>80000</v>
      </c>
      <c r="F9" s="6">
        <f>E9*2*0.9</f>
        <v>144000</v>
      </c>
      <c r="G9" s="6">
        <f>E9*3*0.8</f>
        <v>192000</v>
      </c>
      <c r="H9">
        <v>10000</v>
      </c>
    </row>
    <row r="10" spans="1:8" ht="45" customHeight="1" x14ac:dyDescent="0.35">
      <c r="A10" s="2" t="s">
        <v>21</v>
      </c>
      <c r="B10" s="6">
        <v>50000</v>
      </c>
      <c r="C10" s="6">
        <f>B10*2</f>
        <v>100000</v>
      </c>
      <c r="D10" s="7">
        <f>B10*3</f>
        <v>150000</v>
      </c>
      <c r="E10" s="6">
        <f>B10*4</f>
        <v>200000</v>
      </c>
      <c r="F10" s="5">
        <v>350000</v>
      </c>
      <c r="G10" s="6">
        <f>E10*3*0.8</f>
        <v>480000</v>
      </c>
      <c r="H10">
        <v>25000</v>
      </c>
    </row>
    <row r="11" spans="1:8" ht="45" customHeight="1" x14ac:dyDescent="0.35">
      <c r="A11" s="2" t="s">
        <v>22</v>
      </c>
      <c r="B11" s="4" t="s">
        <v>63</v>
      </c>
      <c r="C11" s="4" t="s">
        <v>63</v>
      </c>
      <c r="D11" s="4" t="s">
        <v>63</v>
      </c>
      <c r="E11" s="5" t="s">
        <v>11</v>
      </c>
      <c r="F11" s="5">
        <v>140000</v>
      </c>
      <c r="G11" s="5" t="s">
        <v>24</v>
      </c>
      <c r="H11">
        <v>10000</v>
      </c>
    </row>
    <row r="12" spans="1:8" ht="20" customHeight="1" x14ac:dyDescent="0.35">
      <c r="A12" s="14" t="s">
        <v>25</v>
      </c>
      <c r="B12" s="15"/>
      <c r="C12" s="15"/>
      <c r="D12" s="15"/>
      <c r="E12" s="15"/>
      <c r="F12" s="15"/>
      <c r="G12" s="15"/>
      <c r="H12" s="10"/>
    </row>
    <row r="13" spans="1:8" ht="45" customHeight="1" x14ac:dyDescent="0.35">
      <c r="A13" s="2" t="s">
        <v>26</v>
      </c>
      <c r="B13" s="6">
        <v>12500</v>
      </c>
      <c r="C13" s="6">
        <f>B13*2</f>
        <v>25000</v>
      </c>
      <c r="D13" s="7">
        <f>B13*3</f>
        <v>37500</v>
      </c>
      <c r="E13" s="6">
        <f>B13*4</f>
        <v>50000</v>
      </c>
      <c r="F13" s="6">
        <f>E13*2*0.9</f>
        <v>90000</v>
      </c>
      <c r="G13" s="6">
        <f>E13*3*0.8</f>
        <v>120000</v>
      </c>
      <c r="H13">
        <v>6500</v>
      </c>
    </row>
    <row r="14" spans="1:8" ht="45" customHeight="1" x14ac:dyDescent="0.35">
      <c r="A14" s="2" t="s">
        <v>28</v>
      </c>
      <c r="B14" s="6">
        <v>15000</v>
      </c>
      <c r="C14" s="6">
        <f>B14*2</f>
        <v>30000</v>
      </c>
      <c r="D14" s="7">
        <f>B14*3</f>
        <v>45000</v>
      </c>
      <c r="E14" s="6">
        <f>B14*4</f>
        <v>60000</v>
      </c>
      <c r="F14" s="5">
        <v>100000</v>
      </c>
      <c r="G14" s="5">
        <v>140000</v>
      </c>
      <c r="H14">
        <f t="shared" ref="H13:H22" si="0">E14/8</f>
        <v>7500</v>
      </c>
    </row>
    <row r="15" spans="1:8" ht="45" customHeight="1" x14ac:dyDescent="0.35">
      <c r="A15" s="2" t="s">
        <v>31</v>
      </c>
      <c r="B15" s="4" t="s">
        <v>63</v>
      </c>
      <c r="C15" s="4" t="s">
        <v>63</v>
      </c>
      <c r="D15" s="4" t="s">
        <v>63</v>
      </c>
      <c r="E15" s="6">
        <v>50000</v>
      </c>
      <c r="F15" s="6">
        <v>90000</v>
      </c>
      <c r="G15" s="6">
        <v>120000</v>
      </c>
      <c r="H15">
        <v>6500</v>
      </c>
    </row>
    <row r="16" spans="1:8" ht="20" customHeight="1" x14ac:dyDescent="0.35">
      <c r="A16" s="14" t="s">
        <v>32</v>
      </c>
      <c r="B16" s="15"/>
      <c r="C16" s="15"/>
      <c r="D16" s="15"/>
      <c r="E16" s="15"/>
      <c r="F16" s="15"/>
      <c r="G16" s="15"/>
      <c r="H16" s="10"/>
    </row>
    <row r="17" spans="1:8" ht="45" customHeight="1" x14ac:dyDescent="0.35">
      <c r="A17" s="2" t="s">
        <v>33</v>
      </c>
      <c r="B17" s="4" t="s">
        <v>63</v>
      </c>
      <c r="C17" s="4" t="s">
        <v>63</v>
      </c>
      <c r="D17" s="4" t="s">
        <v>63</v>
      </c>
      <c r="E17" s="5" t="s">
        <v>11</v>
      </c>
      <c r="F17" s="5" t="s">
        <v>23</v>
      </c>
      <c r="G17" s="5" t="s">
        <v>24</v>
      </c>
      <c r="H17">
        <v>9500</v>
      </c>
    </row>
    <row r="18" spans="1:8" ht="45" customHeight="1" x14ac:dyDescent="0.35">
      <c r="A18" s="2" t="s">
        <v>34</v>
      </c>
      <c r="B18" s="4" t="s">
        <v>63</v>
      </c>
      <c r="C18" s="4" t="s">
        <v>63</v>
      </c>
      <c r="D18" s="4" t="s">
        <v>63</v>
      </c>
      <c r="E18" s="5" t="s">
        <v>35</v>
      </c>
      <c r="F18" s="5" t="s">
        <v>16</v>
      </c>
      <c r="G18" s="5" t="s">
        <v>36</v>
      </c>
      <c r="H18">
        <v>7000</v>
      </c>
    </row>
    <row r="19" spans="1:8" ht="45" customHeight="1" x14ac:dyDescent="0.35">
      <c r="A19" s="2" t="s">
        <v>37</v>
      </c>
      <c r="B19" s="4" t="s">
        <v>63</v>
      </c>
      <c r="C19" s="4" t="s">
        <v>63</v>
      </c>
      <c r="D19" s="4" t="s">
        <v>63</v>
      </c>
      <c r="E19" s="5" t="s">
        <v>38</v>
      </c>
      <c r="F19" s="5" t="s">
        <v>39</v>
      </c>
      <c r="G19" s="5" t="s">
        <v>40</v>
      </c>
      <c r="H19">
        <f t="shared" si="0"/>
        <v>25000</v>
      </c>
    </row>
    <row r="20" spans="1:8" ht="45" customHeight="1" x14ac:dyDescent="0.35">
      <c r="A20" s="2" t="s">
        <v>41</v>
      </c>
      <c r="B20" s="4" t="s">
        <v>63</v>
      </c>
      <c r="C20" s="4" t="s">
        <v>63</v>
      </c>
      <c r="D20" s="4" t="s">
        <v>63</v>
      </c>
      <c r="E20" s="5" t="s">
        <v>42</v>
      </c>
      <c r="F20" s="5" t="s">
        <v>43</v>
      </c>
      <c r="G20" s="5" t="s">
        <v>44</v>
      </c>
      <c r="H20">
        <f t="shared" si="0"/>
        <v>20000</v>
      </c>
    </row>
    <row r="21" spans="1:8" ht="45" customHeight="1" x14ac:dyDescent="0.35">
      <c r="A21" s="2" t="s">
        <v>45</v>
      </c>
      <c r="B21" s="4" t="s">
        <v>63</v>
      </c>
      <c r="C21" s="4" t="s">
        <v>63</v>
      </c>
      <c r="D21" s="4" t="s">
        <v>63</v>
      </c>
      <c r="E21" s="5" t="s">
        <v>46</v>
      </c>
      <c r="F21" s="5" t="s">
        <v>47</v>
      </c>
      <c r="G21" s="5" t="s">
        <v>14</v>
      </c>
      <c r="H21">
        <v>21500</v>
      </c>
    </row>
    <row r="22" spans="1:8" ht="45" customHeight="1" x14ac:dyDescent="0.35">
      <c r="A22" s="2" t="s">
        <v>48</v>
      </c>
      <c r="B22" s="4" t="s">
        <v>63</v>
      </c>
      <c r="C22" s="4" t="s">
        <v>63</v>
      </c>
      <c r="D22" s="4" t="s">
        <v>63</v>
      </c>
      <c r="E22" s="5">
        <v>200000</v>
      </c>
      <c r="F22" s="5">
        <f>E22*2*0.9</f>
        <v>360000</v>
      </c>
      <c r="G22" s="5">
        <f>E22*3*0.8</f>
        <v>480000</v>
      </c>
      <c r="H22">
        <f t="shared" si="0"/>
        <v>25000</v>
      </c>
    </row>
    <row r="23" spans="1:8" ht="20" customHeight="1" x14ac:dyDescent="0.35">
      <c r="A23" s="14" t="s">
        <v>49</v>
      </c>
      <c r="B23" s="15"/>
      <c r="C23" s="15"/>
      <c r="D23" s="15"/>
      <c r="E23" s="15"/>
      <c r="F23" s="15"/>
      <c r="G23" s="15"/>
      <c r="H23" s="10"/>
    </row>
    <row r="24" spans="1:8" ht="45" customHeight="1" x14ac:dyDescent="0.35">
      <c r="A24" s="2" t="s">
        <v>50</v>
      </c>
      <c r="B24" s="4" t="s">
        <v>63</v>
      </c>
      <c r="C24" s="4" t="s">
        <v>63</v>
      </c>
      <c r="D24" s="4" t="s">
        <v>63</v>
      </c>
      <c r="E24" s="5" t="s">
        <v>27</v>
      </c>
      <c r="F24" s="5" t="s">
        <v>46</v>
      </c>
      <c r="G24" s="5" t="s">
        <v>51</v>
      </c>
      <c r="H24">
        <v>11500</v>
      </c>
    </row>
    <row r="25" spans="1:8" ht="45" customHeight="1" x14ac:dyDescent="0.35">
      <c r="A25" s="2" t="s">
        <v>52</v>
      </c>
      <c r="B25" s="4" t="s">
        <v>63</v>
      </c>
      <c r="C25" s="4" t="s">
        <v>63</v>
      </c>
      <c r="D25" s="4" t="s">
        <v>63</v>
      </c>
      <c r="E25" s="5" t="s">
        <v>53</v>
      </c>
      <c r="F25" s="5" t="s">
        <v>12</v>
      </c>
      <c r="G25" s="5" t="s">
        <v>54</v>
      </c>
      <c r="H25">
        <v>10000</v>
      </c>
    </row>
    <row r="26" spans="1:8" ht="45" customHeight="1" x14ac:dyDescent="0.35">
      <c r="A26" s="2" t="s">
        <v>55</v>
      </c>
      <c r="B26" s="4" t="s">
        <v>63</v>
      </c>
      <c r="C26" s="4" t="s">
        <v>63</v>
      </c>
      <c r="D26" s="4" t="s">
        <v>63</v>
      </c>
      <c r="E26" s="5" t="s">
        <v>27</v>
      </c>
      <c r="F26" s="5" t="s">
        <v>46</v>
      </c>
      <c r="G26" s="5" t="s">
        <v>56</v>
      </c>
      <c r="H26">
        <v>11500</v>
      </c>
    </row>
    <row r="27" spans="1:8" ht="45" customHeight="1" x14ac:dyDescent="0.35">
      <c r="A27" s="2" t="s">
        <v>57</v>
      </c>
      <c r="B27" s="4" t="s">
        <v>63</v>
      </c>
      <c r="C27" s="4" t="s">
        <v>63</v>
      </c>
      <c r="D27" s="4" t="s">
        <v>63</v>
      </c>
      <c r="E27" s="5" t="s">
        <v>53</v>
      </c>
      <c r="F27" s="5" t="s">
        <v>12</v>
      </c>
      <c r="G27" s="5" t="s">
        <v>24</v>
      </c>
      <c r="H27">
        <v>10000</v>
      </c>
    </row>
    <row r="28" spans="1:8" ht="45" customHeight="1" x14ac:dyDescent="0.35">
      <c r="A28" s="2" t="s">
        <v>58</v>
      </c>
      <c r="B28" s="4" t="s">
        <v>63</v>
      </c>
      <c r="C28" s="4" t="s">
        <v>63</v>
      </c>
      <c r="D28" s="4" t="s">
        <v>63</v>
      </c>
      <c r="E28" s="5" t="s">
        <v>29</v>
      </c>
      <c r="F28" s="5" t="s">
        <v>19</v>
      </c>
      <c r="G28" s="5" t="s">
        <v>30</v>
      </c>
      <c r="H28">
        <v>9000</v>
      </c>
    </row>
    <row r="29" spans="1:8" ht="45" customHeight="1" x14ac:dyDescent="0.35">
      <c r="A29" s="2" t="s">
        <v>59</v>
      </c>
      <c r="B29" s="4" t="s">
        <v>63</v>
      </c>
      <c r="C29" s="4" t="s">
        <v>63</v>
      </c>
      <c r="D29" s="4" t="s">
        <v>63</v>
      </c>
      <c r="E29" s="5" t="s">
        <v>12</v>
      </c>
      <c r="F29" s="5" t="s">
        <v>60</v>
      </c>
      <c r="G29" s="5" t="s">
        <v>61</v>
      </c>
      <c r="H29">
        <v>19000</v>
      </c>
    </row>
    <row r="30" spans="1:8" ht="45" customHeight="1" x14ac:dyDescent="0.35">
      <c r="A30" s="2" t="s">
        <v>62</v>
      </c>
      <c r="B30" s="4" t="s">
        <v>63</v>
      </c>
      <c r="C30" s="4" t="s">
        <v>63</v>
      </c>
      <c r="D30" s="4" t="s">
        <v>63</v>
      </c>
      <c r="E30" s="5" t="s">
        <v>12</v>
      </c>
      <c r="F30" s="5" t="s">
        <v>60</v>
      </c>
      <c r="G30" s="5" t="s">
        <v>61</v>
      </c>
      <c r="H30">
        <v>19000</v>
      </c>
    </row>
  </sheetData>
  <mergeCells count="5">
    <mergeCell ref="A1:H1"/>
    <mergeCell ref="A3:H3"/>
    <mergeCell ref="A12:H12"/>
    <mergeCell ref="A16:H16"/>
    <mergeCell ref="A23:H2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Тарифы аренды роботов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Маркин</cp:lastModifiedBy>
  <dcterms:created xsi:type="dcterms:W3CDTF">2026-08-21T05:45:49Z</dcterms:created>
  <dcterms:modified xsi:type="dcterms:W3CDTF">2026-08-27T00:33:54Z</dcterms:modified>
</cp:coreProperties>
</file>